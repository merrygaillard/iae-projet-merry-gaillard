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ez-moi" sheetId="1" state="visible" r:id="rId3"/>
    <sheet name="1 - Complétion pôles" sheetId="2" state="visible" r:id="rId4"/>
    <sheet name="2 - Heures" sheetId="3" state="visible" r:id="rId5"/>
    <sheet name="6 - Score quiz" sheetId="4" state="visible" r:id="rId6"/>
    <sheet name="7 - Quiz réussis" sheetId="5" state="visible" r:id="rId7"/>
    <sheet name="8 - Exercices" sheetId="6" state="visible" r:id="rId8"/>
    <sheet name="Données nettoyé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<sst xmlns="http://schemas.openxmlformats.org/spreadsheetml/2006/main" count="280" uniqueCount="124">
  <si>
    <t xml:space="preserve">Tableau de bord des indicateurs : Académie Informatique</t>
  </si>
  <si>
    <t xml:space="preserve">Données de simulation (fictives) issues de data/simulation-progression.csv</t>
  </si>
  <si>
    <t xml:space="preserve">Sujet</t>
  </si>
  <si>
    <t xml:space="preserve">Explication</t>
  </si>
  <si>
    <t xml:space="preserve">À quoi sert ce fichier ?</t>
  </si>
  <si>
    <t xml:space="preserve">Il montre cinq indicateurs de suivi de l'apprentissage : la complétion des pôles, les heures d'apprentissage, les scores au quiz final, la part des quiz réussis, et la réussite aux exercices.</t>
  </si>
  <si>
    <t xml:space="preserve">Comment le lire ?</t>
  </si>
  <si>
    <t xml:space="preserve">Commencez par les onglets « 1 - Complétion pôles », puis « 6 - Score quiz » et « 7 - Quiz réussis ». Les onglets « 2 - Heures » et « 8 - Exercices » expliquent pourquoi ces chiffres ne peuvent pas encore être calculés.</t>
  </si>
  <si>
    <t xml:space="preserve">Comment les chiffres se mettent à jour ?</t>
  </si>
  <si>
    <t xml:space="preserve">Les chiffres sont calculés à partir de l'onglet « Données nettoyées ». Si vous modifiez une ligne de cet onglet, tous les autres onglets se recalculent seuls.</t>
  </si>
  <si>
    <t xml:space="preserve">Règle 1 : doublon</t>
  </si>
  <si>
    <t xml:space="preserve">Quand un même apprenant a deux lignes pour le même pôle et le même niveau, on garde la plus récente.</t>
  </si>
  <si>
    <t xml:space="preserve">Règle 2 : quiz à 125/100</t>
  </si>
  <si>
    <t xml:space="preserve">Un score supérieur à 100 est impossible. Cette ligne est écartée (voir l'onglet « Données nettoyées », en bas).</t>
  </si>
  <si>
    <t xml:space="preserve">Règle 3 : quiz à 0</t>
  </si>
  <si>
    <t xml:space="preserve">Un quiz à 0 est considéré comme non passé. Il n'entre donc pas dans les moyennes.</t>
  </si>
  <si>
    <t xml:space="preserve">Règle 4 : quiz réussi</t>
  </si>
  <si>
    <t xml:space="preserve">Un quiz est réussi à partir de 75/100, soit 15/20. C'est le seuil qui débloque le niveau suivant.</t>
  </si>
  <si>
    <t xml:space="preserve">Limite des données</t>
  </si>
  <si>
    <t xml:space="preserve">Ce sont des données de simulation. Elles ne sont pas des résultats réels d'apprenants.</t>
  </si>
  <si>
    <t xml:space="preserve">Indicateurs non calculables</t>
  </si>
  <si>
    <t xml:space="preserve">Les visites du site ne sont pas comptées : le site garde la progression dans le navigateur uniquement.</t>
  </si>
  <si>
    <t xml:space="preserve">Indicateurs suivis</t>
  </si>
  <si>
    <t xml:space="preserve">Indicateur</t>
  </si>
  <si>
    <t xml:space="preserve">Statut</t>
  </si>
  <si>
    <t xml:space="preserve">1 - Taux de complétion par pôle</t>
  </si>
  <si>
    <t xml:space="preserve">Calculé</t>
  </si>
  <si>
    <t xml:space="preserve">2 - Heures d'apprentissage par semaine</t>
  </si>
  <si>
    <t xml:space="preserve">Non calculable : aucun temps n'est enregistré</t>
  </si>
  <si>
    <t xml:space="preserve">6 - Score moyen au quiz final</t>
  </si>
  <si>
    <t xml:space="preserve">7 - Part des quiz réussis (75/100 ou plus)</t>
  </si>
  <si>
    <t xml:space="preserve">8 - Taux de réussite aux exercices</t>
  </si>
  <si>
    <t xml:space="preserve">Non calculable : pas de note par exercice</t>
  </si>
  <si>
    <t xml:space="preserve">Indicateur 1 : taux de complétion par pôle</t>
  </si>
  <si>
    <t xml:space="preserve">Taux = parcours terminés ÷ apprenants. Un pôle est un langage (JavaScript, Python, SQL).</t>
  </si>
  <si>
    <t xml:space="preserve">Pôle</t>
  </si>
  <si>
    <t xml:space="preserve">Apprenants</t>
  </si>
  <si>
    <t xml:space="preserve">Parcours terminés</t>
  </si>
  <si>
    <t xml:space="preserve">Taux de complétion</t>
  </si>
  <si>
    <t xml:space="preserve">JavaScript</t>
  </si>
  <si>
    <t xml:space="preserve">Python</t>
  </si>
  <si>
    <t xml:space="preserve">SQL</t>
  </si>
  <si>
    <t xml:space="preserve">Total</t>
  </si>
  <si>
    <t xml:space="preserve">Détail par niveau</t>
  </si>
  <si>
    <t xml:space="preserve">Niveau</t>
  </si>
  <si>
    <t xml:space="preserve">Terminés</t>
  </si>
  <si>
    <t xml:space="preserve">En cours</t>
  </si>
  <si>
    <t xml:space="preserve">En pause</t>
  </si>
  <si>
    <t xml:space="preserve">Débutant</t>
  </si>
  <si>
    <t xml:space="preserve">Intermédiaire</t>
  </si>
  <si>
    <t xml:space="preserve">Avancé</t>
  </si>
  <si>
    <t xml:space="preserve">Lecture : « Aucun apprenant » veut dire qu'aucune ligne de données n'existe pour ce pôle et ce niveau.</t>
  </si>
  <si>
    <t xml:space="preserve">Indicateur 2 : heures d'apprentissage par semaine</t>
  </si>
  <si>
    <t xml:space="preserve">Cible du cahier des charges : au moins 2 h par semaine, idéalement 4 h.</t>
  </si>
  <si>
    <t xml:space="preserve">Élément</t>
  </si>
  <si>
    <t xml:space="preserve">Contenu</t>
  </si>
  <si>
    <t xml:space="preserve">Valeur actuelle</t>
  </si>
  <si>
    <t xml:space="preserve">Non calculable</t>
  </si>
  <si>
    <t xml:space="preserve">Pourquoi ?</t>
  </si>
  <si>
    <t xml:space="preserve">Le site n'enregistre ni la date ni la durée de chaque visite. On ne sait donc pas combien de temps une personne passe sur les leçons.</t>
  </si>
  <si>
    <t xml:space="preserve">Donnée à ajouter</t>
  </si>
  <si>
    <t xml:space="preserve">Une ligne par session : date, heure de début, heure de fin, pôle et niveau.</t>
  </si>
  <si>
    <t xml:space="preserve">Calcul prévu une fois la donnée disponible</t>
  </si>
  <si>
    <t xml:space="preserve">Heures par semaine = total des durées de session de la semaine ÷ nombre d'apprenants.</t>
  </si>
  <si>
    <t xml:space="preserve">Cible</t>
  </si>
  <si>
    <t xml:space="preserve">2 h par semaine minimum, 4 h visées.</t>
  </si>
  <si>
    <t xml:space="preserve">Indicateur 6 : score moyen au quiz final (sur 100)</t>
  </si>
  <si>
    <t xml:space="preserve">Seuls les quiz passés sont comptés. Seuil de passage : 75/100 (15/20).</t>
  </si>
  <si>
    <t xml:space="preserve">Quiz passés</t>
  </si>
  <si>
    <t xml:space="preserve">Score moyen (/100)</t>
  </si>
  <si>
    <t xml:space="preserve">Tous pôles</t>
  </si>
  <si>
    <t xml:space="preserve">Lecture : un quiz à 0 (non passé) et le score 125 (impossible) ne sont pas comptés.</t>
  </si>
  <si>
    <t xml:space="preserve">Indicateur 7 : part des quiz réussis</t>
  </si>
  <si>
    <t xml:space="preserve">Un quiz est réussi à partir de 75/100. Ce seuil débloque le niveau suivant.</t>
  </si>
  <si>
    <t xml:space="preserve">Quiz réussis</t>
  </si>
  <si>
    <t xml:space="preserve">Part réussie</t>
  </si>
  <si>
    <t xml:space="preserve">Indicateur 8 : taux de réussite aux exercices</t>
  </si>
  <si>
    <t xml:space="preserve">Cible du cahier des charges : réussir au moins 15 exercices sur 20 par leçon.</t>
  </si>
  <si>
    <t xml:space="preserve">On connaît le nombre d'exercices faits, mais pas la note obtenue à chaque exercice. Impossible donc de savoir lesquels sont réussis.</t>
  </si>
  <si>
    <t xml:space="preserve">Une ligne par exercice fait : apprenant, leçon, exercice, réussi ou non (oui/non).</t>
  </si>
  <si>
    <t xml:space="preserve">Taux de réussite = exercices réussis ÷ exercices faits, par leçon et par pôle.</t>
  </si>
  <si>
    <t xml:space="preserve">Ce qui est déjà disponible</t>
  </si>
  <si>
    <t xml:space="preserve">Le nombre d'exercices réalisés par apprenant (colonne « Exercices réalisés » de l'onglet « Données nettoyées »).</t>
  </si>
  <si>
    <t xml:space="preserve">Données nettoyées : une ligne par apprenant, par pôle et par niveau</t>
  </si>
  <si>
    <t xml:space="preserve">Les colonnes « Quiz passé » et « Quiz réussi » se calculent toutes seules.</t>
  </si>
  <si>
    <t xml:space="preserve">Apprenant</t>
  </si>
  <si>
    <t xml:space="preserve">Note quiz (/100)</t>
  </si>
  <si>
    <t xml:space="preserve">Quiz passé</t>
  </si>
  <si>
    <t xml:space="preserve">Quiz réussi (75 ou plus)</t>
  </si>
  <si>
    <t xml:space="preserve">Leçons terminées</t>
  </si>
  <si>
    <t xml:space="preserve">Exercices réalisés</t>
  </si>
  <si>
    <t xml:space="preserve">Dernière visite</t>
  </si>
  <si>
    <t xml:space="preserve">Remarque</t>
  </si>
  <si>
    <t xml:space="preserve">U_001</t>
  </si>
  <si>
    <t xml:space="preserve">Terminé</t>
  </si>
  <si>
    <t xml:space="preserve">2026-10-05</t>
  </si>
  <si>
    <t xml:space="preserve">U_002</t>
  </si>
  <si>
    <t xml:space="preserve">2026-10-04</t>
  </si>
  <si>
    <t xml:space="preserve">Quiz à 0 : considéré comme non passé</t>
  </si>
  <si>
    <t xml:space="preserve">U_003</t>
  </si>
  <si>
    <t xml:space="preserve">2026-09-28</t>
  </si>
  <si>
    <t xml:space="preserve">U_004</t>
  </si>
  <si>
    <t xml:space="preserve">U_005</t>
  </si>
  <si>
    <t xml:space="preserve">2026-10-03</t>
  </si>
  <si>
    <t xml:space="preserve">U_006</t>
  </si>
  <si>
    <t xml:space="preserve">2026-10-02</t>
  </si>
  <si>
    <t xml:space="preserve">Quiz à 0 et 0 leçon : données incohérentes</t>
  </si>
  <si>
    <t xml:space="preserve">2026-09-30</t>
  </si>
  <si>
    <t xml:space="preserve">2026-09-29</t>
  </si>
  <si>
    <t xml:space="preserve">U_007</t>
  </si>
  <si>
    <t xml:space="preserve">U_008</t>
  </si>
  <si>
    <t xml:space="preserve">U_009</t>
  </si>
  <si>
    <t xml:space="preserve">2026-10-01</t>
  </si>
  <si>
    <t xml:space="preserve">U_010</t>
  </si>
  <si>
    <t xml:space="preserve">2026-09-27</t>
  </si>
  <si>
    <t xml:space="preserve">Doublon : la ligne la plus récente est gardée</t>
  </si>
  <si>
    <t xml:space="preserve">U_011</t>
  </si>
  <si>
    <t xml:space="preserve">Manquante</t>
  </si>
  <si>
    <t xml:space="preserve">Date de dernière visite manquante</t>
  </si>
  <si>
    <t xml:space="preserve">U_012</t>
  </si>
  <si>
    <t xml:space="preserve">2026-09-25</t>
  </si>
  <si>
    <t xml:space="preserve">Lignes écartées (non comptées dans les indicateurs)</t>
  </si>
  <si>
    <t xml:space="preserve">Raison</t>
  </si>
  <si>
    <t xml:space="preserve">Ancienne ligne en doublon, et note impossible (125/100)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</si>
</sst>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%"/>
    <numFmt numFmtId="167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A3A52"/>
      <name val="Arial"/>
      <family val="0"/>
      <charset val="1"/>
    </font>
    <font>
      <i val="true"/>
      <sz val="10"/>
      <color rgb="FF52514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1A3A52"/>
      <name val="Arial"/>
      <family val="0"/>
      <charset val="1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A3A52"/>
        <bgColor rgb="FF333399"/>
      </patternFill>
    </fill>
    <fill>
      <patternFill patternType="solid">
        <fgColor rgb="FFF3F2EF"/>
        <bgColor rgb="FFFFF4DC"/>
      </patternFill>
    </fill>
    <fill>
      <patternFill patternType="solid">
        <fgColor rgb="FFFFF4DC"/>
        <bgColor rgb="FFF3F2E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7D1"/>
      </left>
      <right style="thin">
        <color rgb="FFD9D7D1"/>
      </right>
      <top style="thin">
        <color rgb="FFD9D7D1"/>
      </top>
      <bottom style="thin">
        <color rgb="FFD9D7D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DC"/>
      <rgbColor rgb="FFF3F2EF"/>
      <rgbColor rgb="FF660066"/>
      <rgbColor rgb="FFFF8080"/>
      <rgbColor rgb="FF0066CC"/>
      <rgbColor rgb="FFD9D7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A3A52"/>
      <rgbColor rgb="FF339966"/>
      <rgbColor rgb="FF003300"/>
      <rgbColor rgb="FF333300"/>
      <rgbColor rgb="FF993300"/>
      <rgbColor rgb="FF993366"/>
      <rgbColor rgb="FF333399"/>
      <rgbColor rgb="FF52514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9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42" hidden="false" customHeight="true" outlineLevel="0" collapsed="false">
      <c r="A5" s="4" t="s">
        <v>4</v>
      </c>
      <c r="B5" s="5" t="s">
        <v>5</v>
      </c>
    </row>
    <row r="6" customFormat="false" ht="42" hidden="false" customHeight="true" outlineLevel="0" collapsed="false">
      <c r="A6" s="4" t="s">
        <v>6</v>
      </c>
      <c r="B6" s="5" t="s">
        <v>7</v>
      </c>
    </row>
    <row r="7" customFormat="false" ht="42" hidden="false" customHeight="true" outlineLevel="0" collapsed="false">
      <c r="A7" s="4" t="s">
        <v>8</v>
      </c>
      <c r="B7" s="5" t="s">
        <v>9</v>
      </c>
    </row>
    <row r="8" customFormat="false" ht="42" hidden="false" customHeight="true" outlineLevel="0" collapsed="false">
      <c r="A8" s="4" t="s">
        <v>10</v>
      </c>
      <c r="B8" s="5" t="s">
        <v>11</v>
      </c>
    </row>
    <row r="9" customFormat="false" ht="42" hidden="false" customHeight="true" outlineLevel="0" collapsed="false">
      <c r="A9" s="4" t="s">
        <v>12</v>
      </c>
      <c r="B9" s="5" t="s">
        <v>13</v>
      </c>
    </row>
    <row r="10" customFormat="false" ht="42" hidden="false" customHeight="true" outlineLevel="0" collapsed="false">
      <c r="A10" s="4" t="s">
        <v>14</v>
      </c>
      <c r="B10" s="5" t="s">
        <v>15</v>
      </c>
    </row>
    <row r="11" customFormat="false" ht="42" hidden="false" customHeight="true" outlineLevel="0" collapsed="false">
      <c r="A11" s="4" t="s">
        <v>16</v>
      </c>
      <c r="B11" s="5" t="s">
        <v>17</v>
      </c>
    </row>
    <row r="12" customFormat="false" ht="42" hidden="false" customHeight="true" outlineLevel="0" collapsed="false">
      <c r="A12" s="4" t="s">
        <v>18</v>
      </c>
      <c r="B12" s="5" t="s">
        <v>19</v>
      </c>
    </row>
    <row r="13" customFormat="false" ht="42" hidden="false" customHeight="true" outlineLevel="0" collapsed="false">
      <c r="A13" s="4" t="s">
        <v>20</v>
      </c>
      <c r="B13" s="5" t="s">
        <v>21</v>
      </c>
    </row>
    <row r="15" customFormat="false" ht="15" hidden="false" customHeight="false" outlineLevel="0" collapsed="false">
      <c r="A15" s="6" t="s">
        <v>22</v>
      </c>
    </row>
    <row r="16" customFormat="false" ht="15" hidden="false" customHeight="false" outlineLevel="0" collapsed="false">
      <c r="A16" s="3" t="s">
        <v>23</v>
      </c>
      <c r="B16" s="3" t="s">
        <v>24</v>
      </c>
    </row>
    <row r="17" customFormat="false" ht="15" hidden="false" customHeight="false" outlineLevel="0" collapsed="false">
      <c r="A17" s="7" t="s">
        <v>25</v>
      </c>
      <c r="B17" s="7" t="s">
        <v>26</v>
      </c>
    </row>
    <row r="18" customFormat="false" ht="15" hidden="false" customHeight="false" outlineLevel="0" collapsed="false">
      <c r="A18" s="7" t="s">
        <v>27</v>
      </c>
      <c r="B18" s="7" t="s">
        <v>28</v>
      </c>
    </row>
    <row r="19" customFormat="false" ht="15" hidden="false" customHeight="false" outlineLevel="0" collapsed="false">
      <c r="A19" s="7" t="s">
        <v>29</v>
      </c>
      <c r="B19" s="7" t="s">
        <v>26</v>
      </c>
    </row>
    <row r="20" customFormat="false" ht="15" hidden="false" customHeight="false" outlineLevel="0" collapsed="false">
      <c r="A20" s="7" t="s">
        <v>30</v>
      </c>
      <c r="B20" s="7" t="s">
        <v>26</v>
      </c>
    </row>
    <row r="21" customFormat="false" ht="15" hidden="false" customHeight="false" outlineLevel="0" collapsed="false">
      <c r="A21" s="7" t="s">
        <v>31</v>
      </c>
      <c r="B21" s="7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4" min="3" style="0" width="18"/>
    <col collapsed="false" customWidth="true" hidden="false" outlineLevel="0" max="6" min="5" style="0" width="14"/>
    <col collapsed="false" customWidth="true" hidden="false" outlineLevel="0" max="7" min="7" style="0" width="20"/>
  </cols>
  <sheetData>
    <row r="1" customFormat="false" ht="17.35" hidden="false" customHeight="false" outlineLevel="0" collapsed="false">
      <c r="A1" s="1" t="s">
        <v>33</v>
      </c>
    </row>
    <row r="2" customFormat="false" ht="15" hidden="false" customHeight="false" outlineLevel="0" collapsed="false">
      <c r="A2" s="2" t="s">
        <v>34</v>
      </c>
    </row>
    <row r="4" customFormat="false" ht="15" hidden="false" customHeight="false" outlineLevel="0" collapsed="false">
      <c r="A4" s="3" t="s">
        <v>35</v>
      </c>
      <c r="B4" s="3" t="s">
        <v>36</v>
      </c>
      <c r="C4" s="3" t="s">
        <v>37</v>
      </c>
      <c r="D4" s="3" t="s">
        <v>38</v>
      </c>
    </row>
    <row r="5" customFormat="false" ht="15" hidden="false" customHeight="false" outlineLevel="0" collapsed="false">
      <c r="A5" s="4" t="s">
        <v>39</v>
      </c>
      <c r="B5" s="8" t="n">
        <f aca="false">COUNTIF('Données nettoyées'!$B$5:$B$23,A5)</f>
        <v>7</v>
      </c>
      <c r="C5" s="8" t="n">
        <f aca="false">COUNTIFS('Données nettoyées'!$B$5:$B$23,A5,'Données nettoyées'!$D$5:$D$23,"Terminé")</f>
        <v>4</v>
      </c>
      <c r="D5" s="9" t="n">
        <f aca="false">IFERROR(C5/B5,"–")</f>
        <v>0.571428571428571</v>
      </c>
    </row>
    <row r="6" customFormat="false" ht="15" hidden="false" customHeight="false" outlineLevel="0" collapsed="false">
      <c r="A6" s="4" t="s">
        <v>40</v>
      </c>
      <c r="B6" s="8" t="n">
        <f aca="false">COUNTIF('Données nettoyées'!$B$5:$B$23,A6)</f>
        <v>7</v>
      </c>
      <c r="C6" s="8" t="n">
        <f aca="false">COUNTIFS('Données nettoyées'!$B$5:$B$23,A6,'Données nettoyées'!$D$5:$D$23,"Terminé")</f>
        <v>2</v>
      </c>
      <c r="D6" s="9" t="n">
        <f aca="false">IFERROR(C6/B6,"–")</f>
        <v>0.285714285714286</v>
      </c>
    </row>
    <row r="7" customFormat="false" ht="15" hidden="false" customHeight="false" outlineLevel="0" collapsed="false">
      <c r="A7" s="4" t="s">
        <v>41</v>
      </c>
      <c r="B7" s="8" t="n">
        <f aca="false">COUNTIF('Données nettoyées'!$B$5:$B$23,A7)</f>
        <v>5</v>
      </c>
      <c r="C7" s="8" t="n">
        <f aca="false">COUNTIFS('Données nettoyées'!$B$5:$B$23,A7,'Données nettoyées'!$D$5:$D$23,"Terminé")</f>
        <v>0</v>
      </c>
      <c r="D7" s="9" t="n">
        <f aca="false">IFERROR(C7/B7,"–")</f>
        <v>0</v>
      </c>
    </row>
    <row r="8" customFormat="false" ht="15" hidden="false" customHeight="false" outlineLevel="0" collapsed="false">
      <c r="A8" s="10" t="s">
        <v>42</v>
      </c>
      <c r="B8" s="11" t="n">
        <f aca="false">SUM(B5:B7)</f>
        <v>19</v>
      </c>
      <c r="C8" s="11" t="n">
        <f aca="false">SUM(C5:C7)</f>
        <v>6</v>
      </c>
      <c r="D8" s="12" t="n">
        <f aca="false">IFERROR(C8/B8,"–")</f>
        <v>0.315789473684211</v>
      </c>
    </row>
    <row r="10" customFormat="false" ht="15" hidden="false" customHeight="false" outlineLevel="0" collapsed="false">
      <c r="A10" s="6" t="s">
        <v>43</v>
      </c>
    </row>
    <row r="11" customFormat="false" ht="15" hidden="false" customHeight="false" outlineLevel="0" collapsed="false">
      <c r="A11" s="3" t="s">
        <v>35</v>
      </c>
      <c r="B11" s="3" t="s">
        <v>44</v>
      </c>
      <c r="C11" s="3" t="s">
        <v>36</v>
      </c>
      <c r="D11" s="3" t="s">
        <v>45</v>
      </c>
      <c r="E11" s="3" t="s">
        <v>46</v>
      </c>
      <c r="F11" s="3" t="s">
        <v>47</v>
      </c>
      <c r="G11" s="3" t="s">
        <v>38</v>
      </c>
    </row>
    <row r="12" customFormat="false" ht="15" hidden="false" customHeight="false" outlineLevel="0" collapsed="false">
      <c r="A12" s="4" t="s">
        <v>39</v>
      </c>
      <c r="B12" s="7" t="s">
        <v>48</v>
      </c>
      <c r="C12" s="8" t="n">
        <f aca="false">COUNTIFS('Données nettoyées'!$B$5:$B$23,A12,'Données nettoyées'!$C$5:$C$23,B12)</f>
        <v>4</v>
      </c>
      <c r="D12" s="8" t="n">
        <f aca="false">COUNTIFS('Données nettoyées'!$B$5:$B$23,A12,'Données nettoyées'!$C$5:$C$23,B12,'Données nettoyées'!$D$5:$D$23,"Terminé")</f>
        <v>2</v>
      </c>
      <c r="E12" s="8" t="n">
        <f aca="false">COUNTIFS('Données nettoyées'!$B$5:$B$23,A12,'Données nettoyées'!$C$5:$C$23,B12,'Données nettoyées'!$D$5:$D$23,"En cours")</f>
        <v>1</v>
      </c>
      <c r="F12" s="8" t="n">
        <f aca="false">COUNTIFS('Données nettoyées'!$B$5:$B$23,A12,'Données nettoyées'!$C$5:$C$23,B12,'Données nettoyées'!$D$5:$D$23,"En pause")</f>
        <v>1</v>
      </c>
      <c r="G12" s="9" t="n">
        <f aca="false">IFERROR(D12/C12,"Aucun apprenant")</f>
        <v>0.5</v>
      </c>
    </row>
    <row r="13" customFormat="false" ht="15" hidden="false" customHeight="false" outlineLevel="0" collapsed="false">
      <c r="A13" s="4" t="s">
        <v>39</v>
      </c>
      <c r="B13" s="7" t="s">
        <v>49</v>
      </c>
      <c r="C13" s="8" t="n">
        <f aca="false">COUNTIFS('Données nettoyées'!$B$5:$B$23,A13,'Données nettoyées'!$C$5:$C$23,B13)</f>
        <v>2</v>
      </c>
      <c r="D13" s="8" t="n">
        <f aca="false">COUNTIFS('Données nettoyées'!$B$5:$B$23,A13,'Données nettoyées'!$C$5:$C$23,B13,'Données nettoyées'!$D$5:$D$23,"Terminé")</f>
        <v>1</v>
      </c>
      <c r="E13" s="8" t="n">
        <f aca="false">COUNTIFS('Données nettoyées'!$B$5:$B$23,A13,'Données nettoyées'!$C$5:$C$23,B13,'Données nettoyées'!$D$5:$D$23,"En cours")</f>
        <v>1</v>
      </c>
      <c r="F13" s="8" t="n">
        <f aca="false">COUNTIFS('Données nettoyées'!$B$5:$B$23,A13,'Données nettoyées'!$C$5:$C$23,B13,'Données nettoyées'!$D$5:$D$23,"En pause")</f>
        <v>0</v>
      </c>
      <c r="G13" s="9" t="n">
        <f aca="false">IFERROR(D13/C13,"Aucun apprenant")</f>
        <v>0.5</v>
      </c>
    </row>
    <row r="14" customFormat="false" ht="15" hidden="false" customHeight="false" outlineLevel="0" collapsed="false">
      <c r="A14" s="4" t="s">
        <v>39</v>
      </c>
      <c r="B14" s="7" t="s">
        <v>50</v>
      </c>
      <c r="C14" s="8" t="n">
        <f aca="false">COUNTIFS('Données nettoyées'!$B$5:$B$23,A14,'Données nettoyées'!$C$5:$C$23,B14)</f>
        <v>1</v>
      </c>
      <c r="D14" s="8" t="n">
        <f aca="false">COUNTIFS('Données nettoyées'!$B$5:$B$23,A14,'Données nettoyées'!$C$5:$C$23,B14,'Données nettoyées'!$D$5:$D$23,"Terminé")</f>
        <v>1</v>
      </c>
      <c r="E14" s="8" t="n">
        <f aca="false">COUNTIFS('Données nettoyées'!$B$5:$B$23,A14,'Données nettoyées'!$C$5:$C$23,B14,'Données nettoyées'!$D$5:$D$23,"En cours")</f>
        <v>0</v>
      </c>
      <c r="F14" s="8" t="n">
        <f aca="false">COUNTIFS('Données nettoyées'!$B$5:$B$23,A14,'Données nettoyées'!$C$5:$C$23,B14,'Données nettoyées'!$D$5:$D$23,"En pause")</f>
        <v>0</v>
      </c>
      <c r="G14" s="9" t="n">
        <f aca="false">IFERROR(D14/C14,"Aucun apprenant")</f>
        <v>1</v>
      </c>
    </row>
    <row r="15" customFormat="false" ht="15" hidden="false" customHeight="false" outlineLevel="0" collapsed="false">
      <c r="A15" s="4" t="s">
        <v>40</v>
      </c>
      <c r="B15" s="7" t="s">
        <v>48</v>
      </c>
      <c r="C15" s="8" t="n">
        <f aca="false">COUNTIFS('Données nettoyées'!$B$5:$B$23,A15,'Données nettoyées'!$C$5:$C$23,B15)</f>
        <v>3</v>
      </c>
      <c r="D15" s="8" t="n">
        <f aca="false">COUNTIFS('Données nettoyées'!$B$5:$B$23,A15,'Données nettoyées'!$C$5:$C$23,B15,'Données nettoyées'!$D$5:$D$23,"Terminé")</f>
        <v>2</v>
      </c>
      <c r="E15" s="8" t="n">
        <f aca="false">COUNTIFS('Données nettoyées'!$B$5:$B$23,A15,'Données nettoyées'!$C$5:$C$23,B15,'Données nettoyées'!$D$5:$D$23,"En cours")</f>
        <v>1</v>
      </c>
      <c r="F15" s="8" t="n">
        <f aca="false">COUNTIFS('Données nettoyées'!$B$5:$B$23,A15,'Données nettoyées'!$C$5:$C$23,B15,'Données nettoyées'!$D$5:$D$23,"En pause")</f>
        <v>0</v>
      </c>
      <c r="G15" s="9" t="n">
        <f aca="false">IFERROR(D15/C15,"Aucun apprenant")</f>
        <v>0.666666666666667</v>
      </c>
    </row>
    <row r="16" customFormat="false" ht="15" hidden="false" customHeight="false" outlineLevel="0" collapsed="false">
      <c r="A16" s="4" t="s">
        <v>40</v>
      </c>
      <c r="B16" s="7" t="s">
        <v>49</v>
      </c>
      <c r="C16" s="8" t="n">
        <f aca="false">COUNTIFS('Données nettoyées'!$B$5:$B$23,A16,'Données nettoyées'!$C$5:$C$23,B16)</f>
        <v>3</v>
      </c>
      <c r="D16" s="8" t="n">
        <f aca="false">COUNTIFS('Données nettoyées'!$B$5:$B$23,A16,'Données nettoyées'!$C$5:$C$23,B16,'Données nettoyées'!$D$5:$D$23,"Terminé")</f>
        <v>0</v>
      </c>
      <c r="E16" s="8" t="n">
        <f aca="false">COUNTIFS('Données nettoyées'!$B$5:$B$23,A16,'Données nettoyées'!$C$5:$C$23,B16,'Données nettoyées'!$D$5:$D$23,"En cours")</f>
        <v>3</v>
      </c>
      <c r="F16" s="8" t="n">
        <f aca="false">COUNTIFS('Données nettoyées'!$B$5:$B$23,A16,'Données nettoyées'!$C$5:$C$23,B16,'Données nettoyées'!$D$5:$D$23,"En pause")</f>
        <v>0</v>
      </c>
      <c r="G16" s="9" t="n">
        <f aca="false">IFERROR(D16/C16,"Aucun apprenant")</f>
        <v>0</v>
      </c>
    </row>
    <row r="17" customFormat="false" ht="15" hidden="false" customHeight="false" outlineLevel="0" collapsed="false">
      <c r="A17" s="4" t="s">
        <v>40</v>
      </c>
      <c r="B17" s="7" t="s">
        <v>50</v>
      </c>
      <c r="C17" s="8" t="n">
        <f aca="false">COUNTIFS('Données nettoyées'!$B$5:$B$23,A17,'Données nettoyées'!$C$5:$C$23,B17)</f>
        <v>1</v>
      </c>
      <c r="D17" s="8" t="n">
        <f aca="false">COUNTIFS('Données nettoyées'!$B$5:$B$23,A17,'Données nettoyées'!$C$5:$C$23,B17,'Données nettoyées'!$D$5:$D$23,"Terminé")</f>
        <v>0</v>
      </c>
      <c r="E17" s="8" t="n">
        <f aca="false">COUNTIFS('Données nettoyées'!$B$5:$B$23,A17,'Données nettoyées'!$C$5:$C$23,B17,'Données nettoyées'!$D$5:$D$23,"En cours")</f>
        <v>1</v>
      </c>
      <c r="F17" s="8" t="n">
        <f aca="false">COUNTIFS('Données nettoyées'!$B$5:$B$23,A17,'Données nettoyées'!$C$5:$C$23,B17,'Données nettoyées'!$D$5:$D$23,"En pause")</f>
        <v>0</v>
      </c>
      <c r="G17" s="9" t="n">
        <f aca="false">IFERROR(D17/C17,"Aucun apprenant")</f>
        <v>0</v>
      </c>
    </row>
    <row r="18" customFormat="false" ht="15" hidden="false" customHeight="false" outlineLevel="0" collapsed="false">
      <c r="A18" s="4" t="s">
        <v>41</v>
      </c>
      <c r="B18" s="7" t="s">
        <v>48</v>
      </c>
      <c r="C18" s="8" t="n">
        <f aca="false">COUNTIFS('Données nettoyées'!$B$5:$B$23,A18,'Données nettoyées'!$C$5:$C$23,B18)</f>
        <v>3</v>
      </c>
      <c r="D18" s="8" t="n">
        <f aca="false">COUNTIFS('Données nettoyées'!$B$5:$B$23,A18,'Données nettoyées'!$C$5:$C$23,B18,'Données nettoyées'!$D$5:$D$23,"Terminé")</f>
        <v>0</v>
      </c>
      <c r="E18" s="8" t="n">
        <f aca="false">COUNTIFS('Données nettoyées'!$B$5:$B$23,A18,'Données nettoyées'!$C$5:$C$23,B18,'Données nettoyées'!$D$5:$D$23,"En cours")</f>
        <v>1</v>
      </c>
      <c r="F18" s="8" t="n">
        <f aca="false">COUNTIFS('Données nettoyées'!$B$5:$B$23,A18,'Données nettoyées'!$C$5:$C$23,B18,'Données nettoyées'!$D$5:$D$23,"En pause")</f>
        <v>2</v>
      </c>
      <c r="G18" s="9" t="n">
        <f aca="false">IFERROR(D18/C18,"Aucun apprenant")</f>
        <v>0</v>
      </c>
    </row>
    <row r="19" customFormat="false" ht="15" hidden="false" customHeight="false" outlineLevel="0" collapsed="false">
      <c r="A19" s="4" t="s">
        <v>41</v>
      </c>
      <c r="B19" s="7" t="s">
        <v>49</v>
      </c>
      <c r="C19" s="8" t="n">
        <f aca="false">COUNTIFS('Données nettoyées'!$B$5:$B$23,A19,'Données nettoyées'!$C$5:$C$23,B19)</f>
        <v>2</v>
      </c>
      <c r="D19" s="8" t="n">
        <f aca="false">COUNTIFS('Données nettoyées'!$B$5:$B$23,A19,'Données nettoyées'!$C$5:$C$23,B19,'Données nettoyées'!$D$5:$D$23,"Terminé")</f>
        <v>0</v>
      </c>
      <c r="E19" s="8" t="n">
        <f aca="false">COUNTIFS('Données nettoyées'!$B$5:$B$23,A19,'Données nettoyées'!$C$5:$C$23,B19,'Données nettoyées'!$D$5:$D$23,"En cours")</f>
        <v>2</v>
      </c>
      <c r="F19" s="8" t="n">
        <f aca="false">COUNTIFS('Données nettoyées'!$B$5:$B$23,A19,'Données nettoyées'!$C$5:$C$23,B19,'Données nettoyées'!$D$5:$D$23,"En pause")</f>
        <v>0</v>
      </c>
      <c r="G19" s="9" t="n">
        <f aca="false">IFERROR(D19/C19,"Aucun apprenant")</f>
        <v>0</v>
      </c>
    </row>
    <row r="20" customFormat="false" ht="15" hidden="false" customHeight="false" outlineLevel="0" collapsed="false">
      <c r="A20" s="4" t="s">
        <v>41</v>
      </c>
      <c r="B20" s="7" t="s">
        <v>50</v>
      </c>
      <c r="C20" s="8" t="n">
        <f aca="false">COUNTIFS('Données nettoyées'!$B$5:$B$23,A20,'Données nettoyées'!$C$5:$C$23,B20)</f>
        <v>0</v>
      </c>
      <c r="D20" s="8" t="n">
        <f aca="false">COUNTIFS('Données nettoyées'!$B$5:$B$23,A20,'Données nettoyées'!$C$5:$C$23,B20,'Données nettoyées'!$D$5:$D$23,"Terminé")</f>
        <v>0</v>
      </c>
      <c r="E20" s="8" t="n">
        <f aca="false">COUNTIFS('Données nettoyées'!$B$5:$B$23,A20,'Données nettoyées'!$C$5:$C$23,B20,'Données nettoyées'!$D$5:$D$23,"En cours")</f>
        <v>0</v>
      </c>
      <c r="F20" s="8" t="n">
        <f aca="false">COUNTIFS('Données nettoyées'!$B$5:$B$23,A20,'Données nettoyées'!$C$5:$C$23,B20,'Données nettoyées'!$D$5:$D$23,"En pause")</f>
        <v>0</v>
      </c>
      <c r="G20" s="9" t="str">
        <f aca="false">IFERROR(D20/C20,"Aucun apprenant")</f>
        <v>Aucun apprenant</v>
      </c>
    </row>
    <row r="22" customFormat="false" ht="15" hidden="false" customHeight="false" outlineLevel="0" collapsed="false">
      <c r="A22" s="13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90"/>
  </cols>
  <sheetData>
    <row r="1" customFormat="false" ht="17.35" hidden="false" customHeight="false" outlineLevel="0" collapsed="false">
      <c r="A1" s="1" t="s">
        <v>52</v>
      </c>
    </row>
    <row r="2" customFormat="false" ht="15" hidden="false" customHeight="false" outlineLevel="0" collapsed="false">
      <c r="A2" s="2" t="s">
        <v>53</v>
      </c>
    </row>
    <row r="4" customFormat="false" ht="15" hidden="false" customHeight="false" outlineLevel="0" collapsed="false">
      <c r="A4" s="3" t="s">
        <v>54</v>
      </c>
      <c r="B4" s="3" t="s">
        <v>55</v>
      </c>
    </row>
    <row r="5" customFormat="false" ht="36" hidden="false" customHeight="true" outlineLevel="0" collapsed="false">
      <c r="A5" s="4" t="s">
        <v>56</v>
      </c>
      <c r="B5" s="5" t="s">
        <v>57</v>
      </c>
    </row>
    <row r="6" customFormat="false" ht="36" hidden="false" customHeight="true" outlineLevel="0" collapsed="false">
      <c r="A6" s="4" t="s">
        <v>58</v>
      </c>
      <c r="B6" s="5" t="s">
        <v>59</v>
      </c>
    </row>
    <row r="7" customFormat="false" ht="36" hidden="false" customHeight="true" outlineLevel="0" collapsed="false">
      <c r="A7" s="4" t="s">
        <v>60</v>
      </c>
      <c r="B7" s="5" t="s">
        <v>61</v>
      </c>
    </row>
    <row r="8" customFormat="false" ht="36" hidden="false" customHeight="true" outlineLevel="0" collapsed="false">
      <c r="A8" s="4" t="s">
        <v>62</v>
      </c>
      <c r="B8" s="5" t="s">
        <v>63</v>
      </c>
    </row>
    <row r="9" customFormat="false" ht="36" hidden="false" customHeight="true" outlineLevel="0" collapsed="false">
      <c r="A9" s="4" t="s">
        <v>64</v>
      </c>
      <c r="B9" s="5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6"/>
    <col collapsed="false" customWidth="true" hidden="false" outlineLevel="0" max="4" min="4" style="0" width="22"/>
  </cols>
  <sheetData>
    <row r="1" customFormat="false" ht="17.35" hidden="false" customHeight="false" outlineLevel="0" collapsed="false">
      <c r="A1" s="1" t="s">
        <v>66</v>
      </c>
    </row>
    <row r="2" customFormat="false" ht="15" hidden="false" customHeight="false" outlineLevel="0" collapsed="false">
      <c r="A2" s="2" t="s">
        <v>67</v>
      </c>
    </row>
    <row r="4" customFormat="false" ht="15" hidden="false" customHeight="false" outlineLevel="0" collapsed="false">
      <c r="A4" s="3" t="s">
        <v>35</v>
      </c>
      <c r="B4" s="3" t="s">
        <v>44</v>
      </c>
      <c r="C4" s="3" t="s">
        <v>68</v>
      </c>
      <c r="D4" s="3" t="s">
        <v>69</v>
      </c>
    </row>
    <row r="5" customFormat="false" ht="15" hidden="false" customHeight="false" outlineLevel="0" collapsed="false">
      <c r="A5" s="4" t="s">
        <v>39</v>
      </c>
      <c r="B5" s="7" t="s">
        <v>48</v>
      </c>
      <c r="C5" s="8" t="n">
        <f aca="false">COUNTIFS('Données nettoyées'!$B$5:$B$23,A5,'Données nettoyées'!$C$5:$C$23,B5,'Données nettoyées'!$F$5:$F$23,"Oui")</f>
        <v>4</v>
      </c>
      <c r="D5" s="14" t="n">
        <f aca="false">IFERROR(AVERAGEIFS('Données nettoyées'!$E$5:$E$23,'Données nettoyées'!$B$5:$B$23,A5,'Données nettoyées'!$C$5:$C$23,B5,'Données nettoyées'!$F$5:$F$23,"Oui"),"Aucun quiz passé")</f>
        <v>77.5</v>
      </c>
    </row>
    <row r="6" customFormat="false" ht="15" hidden="false" customHeight="false" outlineLevel="0" collapsed="false">
      <c r="A6" s="4" t="s">
        <v>39</v>
      </c>
      <c r="B6" s="7" t="s">
        <v>49</v>
      </c>
      <c r="C6" s="8" t="n">
        <f aca="false">COUNTIFS('Données nettoyées'!$B$5:$B$23,A6,'Données nettoyées'!$C$5:$C$23,B6,'Données nettoyées'!$F$5:$F$23,"Oui")</f>
        <v>2</v>
      </c>
      <c r="D6" s="14" t="n">
        <f aca="false">IFERROR(AVERAGEIFS('Données nettoyées'!$E$5:$E$23,'Données nettoyées'!$B$5:$B$23,A6,'Données nettoyées'!$C$5:$C$23,B6,'Données nettoyées'!$F$5:$F$23,"Oui"),"Aucun quiz passé")</f>
        <v>86</v>
      </c>
    </row>
    <row r="7" customFormat="false" ht="15" hidden="false" customHeight="false" outlineLevel="0" collapsed="false">
      <c r="A7" s="4" t="s">
        <v>39</v>
      </c>
      <c r="B7" s="7" t="s">
        <v>50</v>
      </c>
      <c r="C7" s="8" t="n">
        <f aca="false">COUNTIFS('Données nettoyées'!$B$5:$B$23,A7,'Données nettoyées'!$C$5:$C$23,B7,'Données nettoyées'!$F$5:$F$23,"Oui")</f>
        <v>1</v>
      </c>
      <c r="D7" s="14" t="n">
        <f aca="false">IFERROR(AVERAGEIFS('Données nettoyées'!$E$5:$E$23,'Données nettoyées'!$B$5:$B$23,A7,'Données nettoyées'!$C$5:$C$23,B7,'Données nettoyées'!$F$5:$F$23,"Oui"),"Aucun quiz passé")</f>
        <v>86</v>
      </c>
    </row>
    <row r="8" customFormat="false" ht="15" hidden="false" customHeight="false" outlineLevel="0" collapsed="false">
      <c r="A8" s="4" t="s">
        <v>40</v>
      </c>
      <c r="B8" s="7" t="s">
        <v>48</v>
      </c>
      <c r="C8" s="8" t="n">
        <f aca="false">COUNTIFS('Données nettoyées'!$B$5:$B$23,A8,'Données nettoyées'!$C$5:$C$23,B8,'Données nettoyées'!$F$5:$F$23,"Oui")</f>
        <v>3</v>
      </c>
      <c r="D8" s="14" t="n">
        <f aca="false">IFERROR(AVERAGEIFS('Données nettoyées'!$E$5:$E$23,'Données nettoyées'!$B$5:$B$23,A8,'Données nettoyées'!$C$5:$C$23,B8,'Données nettoyées'!$F$5:$F$23,"Oui"),"Aucun quiz passé")</f>
        <v>76</v>
      </c>
    </row>
    <row r="9" customFormat="false" ht="15" hidden="false" customHeight="false" outlineLevel="0" collapsed="false">
      <c r="A9" s="4" t="s">
        <v>40</v>
      </c>
      <c r="B9" s="7" t="s">
        <v>49</v>
      </c>
      <c r="C9" s="8" t="n">
        <f aca="false">COUNTIFS('Données nettoyées'!$B$5:$B$23,A9,'Données nettoyées'!$C$5:$C$23,B9,'Données nettoyées'!$F$5:$F$23,"Oui")</f>
        <v>1</v>
      </c>
      <c r="D9" s="14" t="n">
        <f aca="false">IFERROR(AVERAGEIFS('Données nettoyées'!$E$5:$E$23,'Données nettoyées'!$B$5:$B$23,A9,'Données nettoyées'!$C$5:$C$23,B9,'Données nettoyées'!$F$5:$F$23,"Oui"),"Aucun quiz passé")</f>
        <v>81</v>
      </c>
    </row>
    <row r="10" customFormat="false" ht="15" hidden="false" customHeight="false" outlineLevel="0" collapsed="false">
      <c r="A10" s="4" t="s">
        <v>40</v>
      </c>
      <c r="B10" s="7" t="s">
        <v>50</v>
      </c>
      <c r="C10" s="8" t="n">
        <f aca="false">COUNTIFS('Données nettoyées'!$B$5:$B$23,A10,'Données nettoyées'!$C$5:$C$23,B10,'Données nettoyées'!$F$5:$F$23,"Oui")</f>
        <v>1</v>
      </c>
      <c r="D10" s="14" t="n">
        <f aca="false">IFERROR(AVERAGEIFS('Données nettoyées'!$E$5:$E$23,'Données nettoyées'!$B$5:$B$23,A10,'Données nettoyées'!$C$5:$C$23,B10,'Données nettoyées'!$F$5:$F$23,"Oui"),"Aucun quiz passé")</f>
        <v>91</v>
      </c>
    </row>
    <row r="11" customFormat="false" ht="15" hidden="false" customHeight="false" outlineLevel="0" collapsed="false">
      <c r="A11" s="4" t="s">
        <v>41</v>
      </c>
      <c r="B11" s="7" t="s">
        <v>48</v>
      </c>
      <c r="C11" s="8" t="n">
        <f aca="false">COUNTIFS('Données nettoyées'!$B$5:$B$23,A11,'Données nettoyées'!$C$5:$C$23,B11,'Données nettoyées'!$F$5:$F$23,"Oui")</f>
        <v>3</v>
      </c>
      <c r="D11" s="14" t="n">
        <f aca="false">IFERROR(AVERAGEIFS('Données nettoyées'!$E$5:$E$23,'Données nettoyées'!$B$5:$B$23,A11,'Données nettoyées'!$C$5:$C$23,B11,'Données nettoyées'!$F$5:$F$23,"Oui"),"Aucun quiz passé")</f>
        <v>65</v>
      </c>
    </row>
    <row r="12" customFormat="false" ht="15" hidden="false" customHeight="false" outlineLevel="0" collapsed="false">
      <c r="A12" s="4" t="s">
        <v>41</v>
      </c>
      <c r="B12" s="7" t="s">
        <v>49</v>
      </c>
      <c r="C12" s="8" t="n">
        <f aca="false">COUNTIFS('Données nettoyées'!$B$5:$B$23,A12,'Données nettoyées'!$C$5:$C$23,B12,'Données nettoyées'!$F$5:$F$23,"Oui")</f>
        <v>2</v>
      </c>
      <c r="D12" s="14" t="n">
        <f aca="false">IFERROR(AVERAGEIFS('Données nettoyées'!$E$5:$E$23,'Données nettoyées'!$B$5:$B$23,A12,'Données nettoyées'!$C$5:$C$23,B12,'Données nettoyées'!$F$5:$F$23,"Oui"),"Aucun quiz passé")</f>
        <v>90.5</v>
      </c>
    </row>
    <row r="13" customFormat="false" ht="15" hidden="false" customHeight="false" outlineLevel="0" collapsed="false">
      <c r="A13" s="4" t="s">
        <v>41</v>
      </c>
      <c r="B13" s="7" t="s">
        <v>50</v>
      </c>
      <c r="C13" s="8" t="n">
        <f aca="false">COUNTIFS('Données nettoyées'!$B$5:$B$23,A13,'Données nettoyées'!$C$5:$C$23,B13,'Données nettoyées'!$F$5:$F$23,"Oui")</f>
        <v>0</v>
      </c>
      <c r="D13" s="14" t="str">
        <f aca="false">IFERROR(AVERAGEIFS('Données nettoyées'!$E$5:$E$23,'Données nettoyées'!$B$5:$B$23,A13,'Données nettoyées'!$C$5:$C$23,B13,'Données nettoyées'!$F$5:$F$23,"Oui"),"Aucun quiz passé")</f>
        <v>Aucun quiz passé</v>
      </c>
    </row>
    <row r="14" customFormat="false" ht="15" hidden="false" customHeight="false" outlineLevel="0" collapsed="false">
      <c r="A14" s="10" t="s">
        <v>70</v>
      </c>
      <c r="B14" s="15"/>
      <c r="C14" s="11" t="n">
        <f aca="false">COUNTIF('Données nettoyées'!$F$5:$F$23,"Oui")</f>
        <v>17</v>
      </c>
      <c r="D14" s="16" t="n">
        <f aca="false">IFERROR(AVERAGEIF('Données nettoyées'!$F$5:$F$23,"Oui",'Données nettoyées'!$E$5:$E$23),"–")</f>
        <v>79.0588235294118</v>
      </c>
    </row>
    <row r="16" customFormat="false" ht="15" hidden="false" customHeight="false" outlineLevel="0" collapsed="false">
      <c r="A16" s="13" t="s"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6"/>
    <col collapsed="false" customWidth="true" hidden="false" outlineLevel="0" max="5" min="5" style="0" width="20"/>
  </cols>
  <sheetData>
    <row r="1" customFormat="false" ht="17.35" hidden="false" customHeight="false" outlineLevel="0" collapsed="false">
      <c r="A1" s="1" t="s">
        <v>72</v>
      </c>
    </row>
    <row r="2" customFormat="false" ht="15" hidden="false" customHeight="false" outlineLevel="0" collapsed="false">
      <c r="A2" s="2" t="s">
        <v>73</v>
      </c>
    </row>
    <row r="4" customFormat="false" ht="15" hidden="false" customHeight="false" outlineLevel="0" collapsed="false">
      <c r="A4" s="3" t="s">
        <v>35</v>
      </c>
      <c r="B4" s="3" t="s">
        <v>44</v>
      </c>
      <c r="C4" s="3" t="s">
        <v>68</v>
      </c>
      <c r="D4" s="3" t="s">
        <v>74</v>
      </c>
      <c r="E4" s="3" t="s">
        <v>75</v>
      </c>
    </row>
    <row r="5" customFormat="false" ht="15" hidden="false" customHeight="false" outlineLevel="0" collapsed="false">
      <c r="A5" s="4" t="s">
        <v>39</v>
      </c>
      <c r="B5" s="7" t="s">
        <v>48</v>
      </c>
      <c r="C5" s="8" t="n">
        <f aca="false">COUNTIFS('Données nettoyées'!$B$5:$B$23,A5,'Données nettoyées'!$C$5:$C$23,B5,'Données nettoyées'!$F$5:$F$23,"Oui")</f>
        <v>4</v>
      </c>
      <c r="D5" s="8" t="n">
        <f aca="false">COUNTIFS('Données nettoyées'!$B$5:$B$23,A5,'Données nettoyées'!$C$5:$C$23,B5,'Données nettoyées'!$G$5:$G$23,"Oui")</f>
        <v>3</v>
      </c>
      <c r="E5" s="9" t="n">
        <f aca="false">IFERROR(D5/C5,"Aucun quiz passé")</f>
        <v>0.75</v>
      </c>
    </row>
    <row r="6" customFormat="false" ht="15" hidden="false" customHeight="false" outlineLevel="0" collapsed="false">
      <c r="A6" s="4" t="s">
        <v>39</v>
      </c>
      <c r="B6" s="7" t="s">
        <v>49</v>
      </c>
      <c r="C6" s="8" t="n">
        <f aca="false">COUNTIFS('Données nettoyées'!$B$5:$B$23,A6,'Données nettoyées'!$C$5:$C$23,B6,'Données nettoyées'!$F$5:$F$23,"Oui")</f>
        <v>2</v>
      </c>
      <c r="D6" s="8" t="n">
        <f aca="false">COUNTIFS('Données nettoyées'!$B$5:$B$23,A6,'Données nettoyées'!$C$5:$C$23,B6,'Données nettoyées'!$G$5:$G$23,"Oui")</f>
        <v>2</v>
      </c>
      <c r="E6" s="9" t="n">
        <f aca="false">IFERROR(D6/C6,"Aucun quiz passé")</f>
        <v>1</v>
      </c>
    </row>
    <row r="7" customFormat="false" ht="15" hidden="false" customHeight="false" outlineLevel="0" collapsed="false">
      <c r="A7" s="4" t="s">
        <v>39</v>
      </c>
      <c r="B7" s="7" t="s">
        <v>50</v>
      </c>
      <c r="C7" s="8" t="n">
        <f aca="false">COUNTIFS('Données nettoyées'!$B$5:$B$23,A7,'Données nettoyées'!$C$5:$C$23,B7,'Données nettoyées'!$F$5:$F$23,"Oui")</f>
        <v>1</v>
      </c>
      <c r="D7" s="8" t="n">
        <f aca="false">COUNTIFS('Données nettoyées'!$B$5:$B$23,A7,'Données nettoyées'!$C$5:$C$23,B7,'Données nettoyées'!$G$5:$G$23,"Oui")</f>
        <v>1</v>
      </c>
      <c r="E7" s="9" t="n">
        <f aca="false">IFERROR(D7/C7,"Aucun quiz passé")</f>
        <v>1</v>
      </c>
    </row>
    <row r="8" customFormat="false" ht="15" hidden="false" customHeight="false" outlineLevel="0" collapsed="false">
      <c r="A8" s="4" t="s">
        <v>40</v>
      </c>
      <c r="B8" s="7" t="s">
        <v>48</v>
      </c>
      <c r="C8" s="8" t="n">
        <f aca="false">COUNTIFS('Données nettoyées'!$B$5:$B$23,A8,'Données nettoyées'!$C$5:$C$23,B8,'Données nettoyées'!$F$5:$F$23,"Oui")</f>
        <v>3</v>
      </c>
      <c r="D8" s="8" t="n">
        <f aca="false">COUNTIFS('Données nettoyées'!$B$5:$B$23,A8,'Données nettoyées'!$C$5:$C$23,B8,'Données nettoyées'!$G$5:$G$23,"Oui")</f>
        <v>2</v>
      </c>
      <c r="E8" s="9" t="n">
        <f aca="false">IFERROR(D8/C8,"Aucun quiz passé")</f>
        <v>0.666666666666667</v>
      </c>
    </row>
    <row r="9" customFormat="false" ht="15" hidden="false" customHeight="false" outlineLevel="0" collapsed="false">
      <c r="A9" s="4" t="s">
        <v>40</v>
      </c>
      <c r="B9" s="7" t="s">
        <v>49</v>
      </c>
      <c r="C9" s="8" t="n">
        <f aca="false">COUNTIFS('Données nettoyées'!$B$5:$B$23,A9,'Données nettoyées'!$C$5:$C$23,B9,'Données nettoyées'!$F$5:$F$23,"Oui")</f>
        <v>1</v>
      </c>
      <c r="D9" s="8" t="n">
        <f aca="false">COUNTIFS('Données nettoyées'!$B$5:$B$23,A9,'Données nettoyées'!$C$5:$C$23,B9,'Données nettoyées'!$G$5:$G$23,"Oui")</f>
        <v>1</v>
      </c>
      <c r="E9" s="9" t="n">
        <f aca="false">IFERROR(D9/C9,"Aucun quiz passé")</f>
        <v>1</v>
      </c>
    </row>
    <row r="10" customFormat="false" ht="15" hidden="false" customHeight="false" outlineLevel="0" collapsed="false">
      <c r="A10" s="4" t="s">
        <v>40</v>
      </c>
      <c r="B10" s="7" t="s">
        <v>50</v>
      </c>
      <c r="C10" s="8" t="n">
        <f aca="false">COUNTIFS('Données nettoyées'!$B$5:$B$23,A10,'Données nettoyées'!$C$5:$C$23,B10,'Données nettoyées'!$F$5:$F$23,"Oui")</f>
        <v>1</v>
      </c>
      <c r="D10" s="8" t="n">
        <f aca="false">COUNTIFS('Données nettoyées'!$B$5:$B$23,A10,'Données nettoyées'!$C$5:$C$23,B10,'Données nettoyées'!$G$5:$G$23,"Oui")</f>
        <v>1</v>
      </c>
      <c r="E10" s="9" t="n">
        <f aca="false">IFERROR(D10/C10,"Aucun quiz passé")</f>
        <v>1</v>
      </c>
    </row>
    <row r="11" customFormat="false" ht="15" hidden="false" customHeight="false" outlineLevel="0" collapsed="false">
      <c r="A11" s="4" t="s">
        <v>41</v>
      </c>
      <c r="B11" s="7" t="s">
        <v>48</v>
      </c>
      <c r="C11" s="8" t="n">
        <f aca="false">COUNTIFS('Données nettoyées'!$B$5:$B$23,A11,'Données nettoyées'!$C$5:$C$23,B11,'Données nettoyées'!$F$5:$F$23,"Oui")</f>
        <v>3</v>
      </c>
      <c r="D11" s="8" t="n">
        <f aca="false">COUNTIFS('Données nettoyées'!$B$5:$B$23,A11,'Données nettoyées'!$C$5:$C$23,B11,'Données nettoyées'!$G$5:$G$23,"Oui")</f>
        <v>0</v>
      </c>
      <c r="E11" s="9" t="n">
        <f aca="false">IFERROR(D11/C11,"Aucun quiz passé")</f>
        <v>0</v>
      </c>
    </row>
    <row r="12" customFormat="false" ht="15" hidden="false" customHeight="false" outlineLevel="0" collapsed="false">
      <c r="A12" s="4" t="s">
        <v>41</v>
      </c>
      <c r="B12" s="7" t="s">
        <v>49</v>
      </c>
      <c r="C12" s="8" t="n">
        <f aca="false">COUNTIFS('Données nettoyées'!$B$5:$B$23,A12,'Données nettoyées'!$C$5:$C$23,B12,'Données nettoyées'!$F$5:$F$23,"Oui")</f>
        <v>2</v>
      </c>
      <c r="D12" s="8" t="n">
        <f aca="false">COUNTIFS('Données nettoyées'!$B$5:$B$23,A12,'Données nettoyées'!$C$5:$C$23,B12,'Données nettoyées'!$G$5:$G$23,"Oui")</f>
        <v>2</v>
      </c>
      <c r="E12" s="9" t="n">
        <f aca="false">IFERROR(D12/C12,"Aucun quiz passé")</f>
        <v>1</v>
      </c>
    </row>
    <row r="13" customFormat="false" ht="15" hidden="false" customHeight="false" outlineLevel="0" collapsed="false">
      <c r="A13" s="4" t="s">
        <v>41</v>
      </c>
      <c r="B13" s="7" t="s">
        <v>50</v>
      </c>
      <c r="C13" s="8" t="n">
        <f aca="false">COUNTIFS('Données nettoyées'!$B$5:$B$23,A13,'Données nettoyées'!$C$5:$C$23,B13,'Données nettoyées'!$F$5:$F$23,"Oui")</f>
        <v>0</v>
      </c>
      <c r="D13" s="8" t="n">
        <f aca="false">COUNTIFS('Données nettoyées'!$B$5:$B$23,A13,'Données nettoyées'!$C$5:$C$23,B13,'Données nettoyées'!$G$5:$G$23,"Oui")</f>
        <v>0</v>
      </c>
      <c r="E13" s="9" t="str">
        <f aca="false">IFERROR(D13/C13,"Aucun quiz passé")</f>
        <v>Aucun quiz passé</v>
      </c>
    </row>
    <row r="14" customFormat="false" ht="15" hidden="false" customHeight="false" outlineLevel="0" collapsed="false">
      <c r="A14" s="10" t="s">
        <v>70</v>
      </c>
      <c r="B14" s="15"/>
      <c r="C14" s="11" t="n">
        <f aca="false">COUNTIF('Données nettoyées'!$F$5:$F$23,"Oui")</f>
        <v>17</v>
      </c>
      <c r="D14" s="11" t="n">
        <f aca="false">COUNTIF('Données nettoyées'!$G$5:$G$23,"Oui")</f>
        <v>12</v>
      </c>
      <c r="E14" s="12" t="n">
        <f aca="false">IFERROR(D14/C14,"–")</f>
        <v>0.705882352941177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90"/>
  </cols>
  <sheetData>
    <row r="1" customFormat="false" ht="17.35" hidden="false" customHeight="false" outlineLevel="0" collapsed="false">
      <c r="A1" s="1" t="s">
        <v>76</v>
      </c>
    </row>
    <row r="2" customFormat="false" ht="15" hidden="false" customHeight="false" outlineLevel="0" collapsed="false">
      <c r="A2" s="2" t="s">
        <v>77</v>
      </c>
    </row>
    <row r="4" customFormat="false" ht="15" hidden="false" customHeight="false" outlineLevel="0" collapsed="false">
      <c r="A4" s="3" t="s">
        <v>54</v>
      </c>
      <c r="B4" s="3" t="s">
        <v>55</v>
      </c>
    </row>
    <row r="5" customFormat="false" ht="36" hidden="false" customHeight="true" outlineLevel="0" collapsed="false">
      <c r="A5" s="4" t="s">
        <v>56</v>
      </c>
      <c r="B5" s="5" t="s">
        <v>57</v>
      </c>
    </row>
    <row r="6" customFormat="false" ht="36" hidden="false" customHeight="true" outlineLevel="0" collapsed="false">
      <c r="A6" s="4" t="s">
        <v>58</v>
      </c>
      <c r="B6" s="5" t="s">
        <v>78</v>
      </c>
    </row>
    <row r="7" customFormat="false" ht="36" hidden="false" customHeight="true" outlineLevel="0" collapsed="false">
      <c r="A7" s="4" t="s">
        <v>60</v>
      </c>
      <c r="B7" s="5" t="s">
        <v>79</v>
      </c>
    </row>
    <row r="8" customFormat="false" ht="36" hidden="false" customHeight="true" outlineLevel="0" collapsed="false">
      <c r="A8" s="4" t="s">
        <v>62</v>
      </c>
      <c r="B8" s="5" t="s">
        <v>80</v>
      </c>
    </row>
    <row r="9" customFormat="false" ht="36" hidden="false" customHeight="true" outlineLevel="0" collapsed="false">
      <c r="A9" s="4" t="s">
        <v>81</v>
      </c>
      <c r="B9" s="5" t="s"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22"/>
    <col collapsed="false" customWidth="true" hidden="false" outlineLevel="0" max="8" min="8" style="0" width="16"/>
    <col collapsed="false" customWidth="true" hidden="false" outlineLevel="0" max="9" min="9" style="0" width="18"/>
    <col collapsed="false" customWidth="true" hidden="false" outlineLevel="0" max="10" min="10" style="0" width="16"/>
    <col collapsed="false" customWidth="true" hidden="false" outlineLevel="0" max="11" min="11" style="0" width="48"/>
  </cols>
  <sheetData>
    <row r="1" customFormat="false" ht="17.35" hidden="false" customHeight="false" outlineLevel="0" collapsed="false">
      <c r="A1" s="1" t="s">
        <v>83</v>
      </c>
    </row>
    <row r="2" customFormat="false" ht="15" hidden="false" customHeight="false" outlineLevel="0" collapsed="false">
      <c r="A2" s="2" t="s">
        <v>84</v>
      </c>
    </row>
    <row r="4" customFormat="false" ht="15" hidden="false" customHeight="false" outlineLevel="0" collapsed="false">
      <c r="A4" s="3" t="s">
        <v>85</v>
      </c>
      <c r="B4" s="3" t="s">
        <v>35</v>
      </c>
      <c r="C4" s="3" t="s">
        <v>44</v>
      </c>
      <c r="D4" s="3" t="s">
        <v>24</v>
      </c>
      <c r="E4" s="3" t="s">
        <v>86</v>
      </c>
      <c r="F4" s="3" t="s">
        <v>87</v>
      </c>
      <c r="G4" s="3" t="s">
        <v>88</v>
      </c>
      <c r="H4" s="3" t="s">
        <v>89</v>
      </c>
      <c r="I4" s="3" t="s">
        <v>90</v>
      </c>
      <c r="J4" s="3" t="s">
        <v>91</v>
      </c>
      <c r="K4" s="3" t="s">
        <v>92</v>
      </c>
    </row>
    <row r="5" customFormat="false" ht="15" hidden="false" customHeight="false" outlineLevel="0" collapsed="false">
      <c r="A5" s="17" t="s">
        <v>93</v>
      </c>
      <c r="B5" s="17" t="s">
        <v>39</v>
      </c>
      <c r="C5" s="17" t="s">
        <v>48</v>
      </c>
      <c r="D5" s="17" t="s">
        <v>94</v>
      </c>
      <c r="E5" s="18" t="n">
        <v>82</v>
      </c>
      <c r="F5" s="19" t="str">
        <f aca="false">IF(E5&gt;0,"Oui","Non")</f>
        <v>Oui</v>
      </c>
      <c r="G5" s="19" t="str">
        <f aca="false">IF(AND(F5="Oui",E5&gt;=75),"Oui","Non")</f>
        <v>Oui</v>
      </c>
      <c r="H5" s="18" t="n">
        <v>7</v>
      </c>
      <c r="I5" s="18" t="n">
        <v>15</v>
      </c>
      <c r="J5" s="17" t="s">
        <v>95</v>
      </c>
      <c r="K5" s="17"/>
    </row>
    <row r="6" customFormat="false" ht="15" hidden="false" customHeight="false" outlineLevel="0" collapsed="false">
      <c r="A6" s="17" t="s">
        <v>96</v>
      </c>
      <c r="B6" s="17" t="s">
        <v>40</v>
      </c>
      <c r="C6" s="17" t="s">
        <v>49</v>
      </c>
      <c r="D6" s="17" t="s">
        <v>46</v>
      </c>
      <c r="E6" s="18" t="n">
        <v>0</v>
      </c>
      <c r="F6" s="19" t="str">
        <f aca="false">IF(E6&gt;0,"Oui","Non")</f>
        <v>Non</v>
      </c>
      <c r="G6" s="19" t="str">
        <f aca="false">IF(AND(F6="Oui",E6&gt;=75),"Oui","Non")</f>
        <v>Non</v>
      </c>
      <c r="H6" s="18" t="n">
        <v>4</v>
      </c>
      <c r="I6" s="18" t="n">
        <v>9</v>
      </c>
      <c r="J6" s="17" t="s">
        <v>97</v>
      </c>
      <c r="K6" s="17" t="s">
        <v>98</v>
      </c>
    </row>
    <row r="7" customFormat="false" ht="15" hidden="false" customHeight="false" outlineLevel="0" collapsed="false">
      <c r="A7" s="17" t="s">
        <v>99</v>
      </c>
      <c r="B7" s="17" t="s">
        <v>41</v>
      </c>
      <c r="C7" s="17" t="s">
        <v>48</v>
      </c>
      <c r="D7" s="17" t="s">
        <v>47</v>
      </c>
      <c r="E7" s="18" t="n">
        <v>65</v>
      </c>
      <c r="F7" s="19" t="str">
        <f aca="false">IF(E7&gt;0,"Oui","Non")</f>
        <v>Oui</v>
      </c>
      <c r="G7" s="19" t="str">
        <f aca="false">IF(AND(F7="Oui",E7&gt;=75),"Oui","Non")</f>
        <v>Non</v>
      </c>
      <c r="H7" s="18" t="n">
        <v>3</v>
      </c>
      <c r="I7" s="18" t="n">
        <v>6</v>
      </c>
      <c r="J7" s="17" t="s">
        <v>100</v>
      </c>
      <c r="K7" s="17"/>
    </row>
    <row r="8" customFormat="false" ht="15" hidden="false" customHeight="false" outlineLevel="0" collapsed="false">
      <c r="A8" s="17" t="s">
        <v>101</v>
      </c>
      <c r="B8" s="17" t="s">
        <v>39</v>
      </c>
      <c r="C8" s="17" t="s">
        <v>49</v>
      </c>
      <c r="D8" s="17" t="s">
        <v>46</v>
      </c>
      <c r="E8" s="18" t="n">
        <v>88</v>
      </c>
      <c r="F8" s="19" t="str">
        <f aca="false">IF(E8&gt;0,"Oui","Non")</f>
        <v>Oui</v>
      </c>
      <c r="G8" s="19" t="str">
        <f aca="false">IF(AND(F8="Oui",E8&gt;=75),"Oui","Non")</f>
        <v>Oui</v>
      </c>
      <c r="H8" s="18" t="n">
        <v>5</v>
      </c>
      <c r="I8" s="18" t="n">
        <v>12</v>
      </c>
      <c r="J8" s="17" t="s">
        <v>95</v>
      </c>
      <c r="K8" s="17"/>
    </row>
    <row r="9" customFormat="false" ht="15" hidden="false" customHeight="false" outlineLevel="0" collapsed="false">
      <c r="A9" s="17" t="s">
        <v>102</v>
      </c>
      <c r="B9" s="17" t="s">
        <v>40</v>
      </c>
      <c r="C9" s="17" t="s">
        <v>48</v>
      </c>
      <c r="D9" s="17" t="s">
        <v>94</v>
      </c>
      <c r="E9" s="18" t="n">
        <v>75</v>
      </c>
      <c r="F9" s="19" t="str">
        <f aca="false">IF(E9&gt;0,"Oui","Non")</f>
        <v>Oui</v>
      </c>
      <c r="G9" s="19" t="str">
        <f aca="false">IF(AND(F9="Oui",E9&gt;=75),"Oui","Non")</f>
        <v>Oui</v>
      </c>
      <c r="H9" s="18" t="n">
        <v>8</v>
      </c>
      <c r="I9" s="18" t="n">
        <v>18</v>
      </c>
      <c r="J9" s="17" t="s">
        <v>103</v>
      </c>
      <c r="K9" s="17"/>
    </row>
    <row r="10" customFormat="false" ht="15" hidden="false" customHeight="false" outlineLevel="0" collapsed="false">
      <c r="A10" s="17" t="s">
        <v>104</v>
      </c>
      <c r="B10" s="17" t="s">
        <v>41</v>
      </c>
      <c r="C10" s="17" t="s">
        <v>49</v>
      </c>
      <c r="D10" s="17" t="s">
        <v>46</v>
      </c>
      <c r="E10" s="18" t="n">
        <v>92</v>
      </c>
      <c r="F10" s="19" t="str">
        <f aca="false">IF(E10&gt;0,"Oui","Non")</f>
        <v>Oui</v>
      </c>
      <c r="G10" s="19" t="str">
        <f aca="false">IF(AND(F10="Oui",E10&gt;=75),"Oui","Non")</f>
        <v>Oui</v>
      </c>
      <c r="H10" s="18" t="n">
        <v>6</v>
      </c>
      <c r="I10" s="18" t="n">
        <v>14</v>
      </c>
      <c r="J10" s="17" t="s">
        <v>105</v>
      </c>
      <c r="K10" s="17"/>
    </row>
    <row r="11" customFormat="false" ht="15" hidden="false" customHeight="false" outlineLevel="0" collapsed="false">
      <c r="A11" s="17" t="s">
        <v>93</v>
      </c>
      <c r="B11" s="17" t="s">
        <v>40</v>
      </c>
      <c r="C11" s="17" t="s">
        <v>48</v>
      </c>
      <c r="D11" s="17" t="s">
        <v>94</v>
      </c>
      <c r="E11" s="18" t="n">
        <v>85</v>
      </c>
      <c r="F11" s="19" t="str">
        <f aca="false">IF(E11&gt;0,"Oui","Non")</f>
        <v>Oui</v>
      </c>
      <c r="G11" s="19" t="str">
        <f aca="false">IF(AND(F11="Oui",E11&gt;=75),"Oui","Non")</f>
        <v>Oui</v>
      </c>
      <c r="H11" s="18" t="n">
        <v>9</v>
      </c>
      <c r="I11" s="18" t="n">
        <v>20</v>
      </c>
      <c r="J11" s="17" t="s">
        <v>97</v>
      </c>
      <c r="K11" s="17"/>
    </row>
    <row r="12" customFormat="false" ht="15" hidden="false" customHeight="false" outlineLevel="0" collapsed="false">
      <c r="A12" s="17" t="s">
        <v>99</v>
      </c>
      <c r="B12" s="17" t="s">
        <v>40</v>
      </c>
      <c r="C12" s="17" t="s">
        <v>49</v>
      </c>
      <c r="D12" s="17" t="s">
        <v>46</v>
      </c>
      <c r="E12" s="18" t="n">
        <v>0</v>
      </c>
      <c r="F12" s="19" t="str">
        <f aca="false">IF(E12&gt;0,"Oui","Non")</f>
        <v>Non</v>
      </c>
      <c r="G12" s="19" t="str">
        <f aca="false">IF(AND(F12="Oui",E12&gt;=75),"Oui","Non")</f>
        <v>Non</v>
      </c>
      <c r="H12" s="18" t="n">
        <v>0</v>
      </c>
      <c r="I12" s="18" t="n">
        <v>0</v>
      </c>
      <c r="J12" s="17" t="s">
        <v>95</v>
      </c>
      <c r="K12" s="17" t="s">
        <v>106</v>
      </c>
    </row>
    <row r="13" customFormat="false" ht="15" hidden="false" customHeight="false" outlineLevel="0" collapsed="false">
      <c r="A13" s="17" t="s">
        <v>101</v>
      </c>
      <c r="B13" s="17" t="s">
        <v>41</v>
      </c>
      <c r="C13" s="17" t="s">
        <v>48</v>
      </c>
      <c r="D13" s="17" t="s">
        <v>47</v>
      </c>
      <c r="E13" s="18" t="n">
        <v>72</v>
      </c>
      <c r="F13" s="19" t="str">
        <f aca="false">IF(E13&gt;0,"Oui","Non")</f>
        <v>Oui</v>
      </c>
      <c r="G13" s="19" t="str">
        <f aca="false">IF(AND(F13="Oui",E13&gt;=75),"Oui","Non")</f>
        <v>Non</v>
      </c>
      <c r="H13" s="18" t="n">
        <v>4</v>
      </c>
      <c r="I13" s="18" t="n">
        <v>8</v>
      </c>
      <c r="J13" s="17" t="s">
        <v>107</v>
      </c>
      <c r="K13" s="17"/>
    </row>
    <row r="14" customFormat="false" ht="15" hidden="false" customHeight="false" outlineLevel="0" collapsed="false">
      <c r="A14" s="17" t="s">
        <v>102</v>
      </c>
      <c r="B14" s="17" t="s">
        <v>39</v>
      </c>
      <c r="C14" s="17" t="s">
        <v>48</v>
      </c>
      <c r="D14" s="17" t="s">
        <v>46</v>
      </c>
      <c r="E14" s="18" t="n">
        <v>79</v>
      </c>
      <c r="F14" s="19" t="str">
        <f aca="false">IF(E14&gt;0,"Oui","Non")</f>
        <v>Oui</v>
      </c>
      <c r="G14" s="19" t="str">
        <f aca="false">IF(AND(F14="Oui",E14&gt;=75),"Oui","Non")</f>
        <v>Oui</v>
      </c>
      <c r="H14" s="18" t="n">
        <v>6</v>
      </c>
      <c r="I14" s="18" t="n">
        <v>14</v>
      </c>
      <c r="J14" s="17" t="s">
        <v>103</v>
      </c>
      <c r="K14" s="17"/>
    </row>
    <row r="15" customFormat="false" ht="15" hidden="false" customHeight="false" outlineLevel="0" collapsed="false">
      <c r="A15" s="17" t="s">
        <v>104</v>
      </c>
      <c r="B15" s="17" t="s">
        <v>40</v>
      </c>
      <c r="C15" s="17" t="s">
        <v>49</v>
      </c>
      <c r="D15" s="17" t="s">
        <v>46</v>
      </c>
      <c r="E15" s="18" t="n">
        <v>81</v>
      </c>
      <c r="F15" s="19" t="str">
        <f aca="false">IF(E15&gt;0,"Oui","Non")</f>
        <v>Oui</v>
      </c>
      <c r="G15" s="19" t="str">
        <f aca="false">IF(AND(F15="Oui",E15&gt;=75),"Oui","Non")</f>
        <v>Oui</v>
      </c>
      <c r="H15" s="18" t="n">
        <v>5</v>
      </c>
      <c r="I15" s="18" t="n">
        <v>11</v>
      </c>
      <c r="J15" s="17" t="s">
        <v>108</v>
      </c>
      <c r="K15" s="17"/>
    </row>
    <row r="16" customFormat="false" ht="15" hidden="false" customHeight="false" outlineLevel="0" collapsed="false">
      <c r="A16" s="17" t="s">
        <v>109</v>
      </c>
      <c r="B16" s="17" t="s">
        <v>41</v>
      </c>
      <c r="C16" s="17" t="s">
        <v>48</v>
      </c>
      <c r="D16" s="17" t="s">
        <v>46</v>
      </c>
      <c r="E16" s="18" t="n">
        <v>58</v>
      </c>
      <c r="F16" s="19" t="str">
        <f aca="false">IF(E16&gt;0,"Oui","Non")</f>
        <v>Oui</v>
      </c>
      <c r="G16" s="19" t="str">
        <f aca="false">IF(AND(F16="Oui",E16&gt;=75),"Oui","Non")</f>
        <v>Non</v>
      </c>
      <c r="H16" s="18" t="n">
        <v>2</v>
      </c>
      <c r="I16" s="18" t="n">
        <v>5</v>
      </c>
      <c r="J16" s="17" t="s">
        <v>105</v>
      </c>
      <c r="K16" s="17"/>
    </row>
    <row r="17" customFormat="false" ht="15" hidden="false" customHeight="false" outlineLevel="0" collapsed="false">
      <c r="A17" s="17" t="s">
        <v>110</v>
      </c>
      <c r="B17" s="17" t="s">
        <v>39</v>
      </c>
      <c r="C17" s="17" t="s">
        <v>49</v>
      </c>
      <c r="D17" s="17" t="s">
        <v>94</v>
      </c>
      <c r="E17" s="18" t="n">
        <v>84</v>
      </c>
      <c r="F17" s="19" t="str">
        <f aca="false">IF(E17&gt;0,"Oui","Non")</f>
        <v>Oui</v>
      </c>
      <c r="G17" s="19" t="str">
        <f aca="false">IF(AND(F17="Oui",E17&gt;=75),"Oui","Non")</f>
        <v>Oui</v>
      </c>
      <c r="H17" s="18" t="n">
        <v>6</v>
      </c>
      <c r="I17" s="18" t="n">
        <v>16</v>
      </c>
      <c r="J17" s="17" t="s">
        <v>97</v>
      </c>
      <c r="K17" s="17"/>
    </row>
    <row r="18" customFormat="false" ht="15" hidden="false" customHeight="false" outlineLevel="0" collapsed="false">
      <c r="A18" s="17" t="s">
        <v>111</v>
      </c>
      <c r="B18" s="17" t="s">
        <v>40</v>
      </c>
      <c r="C18" s="17" t="s">
        <v>50</v>
      </c>
      <c r="D18" s="17" t="s">
        <v>46</v>
      </c>
      <c r="E18" s="18" t="n">
        <v>91</v>
      </c>
      <c r="F18" s="19" t="str">
        <f aca="false">IF(E18&gt;0,"Oui","Non")</f>
        <v>Oui</v>
      </c>
      <c r="G18" s="19" t="str">
        <f aca="false">IF(AND(F18="Oui",E18&gt;=75),"Oui","Non")</f>
        <v>Oui</v>
      </c>
      <c r="H18" s="18" t="n">
        <v>8</v>
      </c>
      <c r="I18" s="18" t="n">
        <v>35</v>
      </c>
      <c r="J18" s="17" t="s">
        <v>95</v>
      </c>
      <c r="K18" s="17"/>
    </row>
    <row r="19" customFormat="false" ht="15" hidden="false" customHeight="false" outlineLevel="0" collapsed="false">
      <c r="A19" s="17" t="s">
        <v>109</v>
      </c>
      <c r="B19" s="17" t="s">
        <v>39</v>
      </c>
      <c r="C19" s="17" t="s">
        <v>48</v>
      </c>
      <c r="D19" s="17" t="s">
        <v>94</v>
      </c>
      <c r="E19" s="18" t="n">
        <v>77</v>
      </c>
      <c r="F19" s="19" t="str">
        <f aca="false">IF(E19&gt;0,"Oui","Non")</f>
        <v>Oui</v>
      </c>
      <c r="G19" s="19" t="str">
        <f aca="false">IF(AND(F19="Oui",E19&gt;=75),"Oui","Non")</f>
        <v>Oui</v>
      </c>
      <c r="H19" s="18" t="n">
        <v>7</v>
      </c>
      <c r="I19" s="18" t="n">
        <v>16</v>
      </c>
      <c r="J19" s="17" t="s">
        <v>112</v>
      </c>
      <c r="K19" s="17"/>
    </row>
    <row r="20" customFormat="false" ht="15" hidden="false" customHeight="false" outlineLevel="0" collapsed="false">
      <c r="A20" s="17" t="s">
        <v>113</v>
      </c>
      <c r="B20" s="17" t="s">
        <v>41</v>
      </c>
      <c r="C20" s="17" t="s">
        <v>49</v>
      </c>
      <c r="D20" s="17" t="s">
        <v>46</v>
      </c>
      <c r="E20" s="18" t="n">
        <v>89</v>
      </c>
      <c r="F20" s="19" t="str">
        <f aca="false">IF(E20&gt;0,"Oui","Non")</f>
        <v>Oui</v>
      </c>
      <c r="G20" s="19" t="str">
        <f aca="false">IF(AND(F20="Oui",E20&gt;=75),"Oui","Non")</f>
        <v>Oui</v>
      </c>
      <c r="H20" s="18" t="n">
        <v>4</v>
      </c>
      <c r="I20" s="18" t="n">
        <v>10</v>
      </c>
      <c r="J20" s="17" t="s">
        <v>114</v>
      </c>
      <c r="K20" s="17"/>
    </row>
    <row r="21" customFormat="false" ht="15" hidden="false" customHeight="false" outlineLevel="0" collapsed="false">
      <c r="A21" s="17" t="s">
        <v>96</v>
      </c>
      <c r="B21" s="17" t="s">
        <v>39</v>
      </c>
      <c r="C21" s="17" t="s">
        <v>50</v>
      </c>
      <c r="D21" s="17" t="s">
        <v>94</v>
      </c>
      <c r="E21" s="18" t="n">
        <v>86</v>
      </c>
      <c r="F21" s="19" t="str">
        <f aca="false">IF(E21&gt;0,"Oui","Non")</f>
        <v>Oui</v>
      </c>
      <c r="G21" s="19" t="str">
        <f aca="false">IF(AND(F21="Oui",E21&gt;=75),"Oui","Non")</f>
        <v>Oui</v>
      </c>
      <c r="H21" s="18" t="n">
        <v>8</v>
      </c>
      <c r="I21" s="18" t="n">
        <v>32</v>
      </c>
      <c r="J21" s="17" t="s">
        <v>95</v>
      </c>
      <c r="K21" s="17" t="s">
        <v>115</v>
      </c>
    </row>
    <row r="22" customFormat="false" ht="15" hidden="false" customHeight="false" outlineLevel="0" collapsed="false">
      <c r="A22" s="17" t="s">
        <v>116</v>
      </c>
      <c r="B22" s="17" t="s">
        <v>40</v>
      </c>
      <c r="C22" s="17" t="s">
        <v>48</v>
      </c>
      <c r="D22" s="17" t="s">
        <v>46</v>
      </c>
      <c r="E22" s="18" t="n">
        <v>68</v>
      </c>
      <c r="F22" s="19" t="str">
        <f aca="false">IF(E22&gt;0,"Oui","Non")</f>
        <v>Oui</v>
      </c>
      <c r="G22" s="19" t="str">
        <f aca="false">IF(AND(F22="Oui",E22&gt;=75),"Oui","Non")</f>
        <v>Non</v>
      </c>
      <c r="H22" s="18" t="n">
        <v>5</v>
      </c>
      <c r="I22" s="18" t="n">
        <v>12</v>
      </c>
      <c r="J22" s="17" t="s">
        <v>117</v>
      </c>
      <c r="K22" s="17" t="s">
        <v>118</v>
      </c>
    </row>
    <row r="23" customFormat="false" ht="15" hidden="false" customHeight="false" outlineLevel="0" collapsed="false">
      <c r="A23" s="17" t="s">
        <v>119</v>
      </c>
      <c r="B23" s="17" t="s">
        <v>39</v>
      </c>
      <c r="C23" s="17" t="s">
        <v>48</v>
      </c>
      <c r="D23" s="17" t="s">
        <v>47</v>
      </c>
      <c r="E23" s="18" t="n">
        <v>72</v>
      </c>
      <c r="F23" s="19" t="str">
        <f aca="false">IF(E23&gt;0,"Oui","Non")</f>
        <v>Oui</v>
      </c>
      <c r="G23" s="19" t="str">
        <f aca="false">IF(AND(F23="Oui",E23&gt;=75),"Oui","Non")</f>
        <v>Non</v>
      </c>
      <c r="H23" s="18" t="n">
        <v>3</v>
      </c>
      <c r="I23" s="18" t="n">
        <v>7</v>
      </c>
      <c r="J23" s="17" t="s">
        <v>120</v>
      </c>
      <c r="K23" s="17"/>
    </row>
    <row r="26" customFormat="false" ht="15" hidden="false" customHeight="false" outlineLevel="0" collapsed="false">
      <c r="A26" s="6" t="s">
        <v>121</v>
      </c>
    </row>
    <row r="27" customFormat="false" ht="15" hidden="false" customHeight="false" outlineLevel="0" collapsed="false">
      <c r="A27" s="3" t="s">
        <v>85</v>
      </c>
      <c r="B27" s="3" t="s">
        <v>35</v>
      </c>
      <c r="C27" s="3" t="s">
        <v>44</v>
      </c>
      <c r="D27" s="3" t="s">
        <v>24</v>
      </c>
      <c r="E27" s="3" t="s">
        <v>86</v>
      </c>
      <c r="F27" s="3"/>
      <c r="G27" s="3"/>
      <c r="H27" s="3" t="s">
        <v>89</v>
      </c>
      <c r="I27" s="3" t="s">
        <v>90</v>
      </c>
      <c r="J27" s="3" t="s">
        <v>91</v>
      </c>
      <c r="K27" s="3" t="s">
        <v>122</v>
      </c>
    </row>
    <row r="28" customFormat="false" ht="30" hidden="false" customHeight="true" outlineLevel="0" collapsed="false">
      <c r="A28" s="20" t="s">
        <v>96</v>
      </c>
      <c r="B28" s="20" t="s">
        <v>39</v>
      </c>
      <c r="C28" s="20" t="s">
        <v>50</v>
      </c>
      <c r="D28" s="20" t="s">
        <v>94</v>
      </c>
      <c r="E28" s="20" t="n">
        <v>125</v>
      </c>
      <c r="F28" s="20"/>
      <c r="G28" s="20"/>
      <c r="H28" s="20" t="n">
        <v>7</v>
      </c>
      <c r="I28" s="20" t="n">
        <v>28</v>
      </c>
      <c r="J28" s="20" t="s">
        <v>112</v>
      </c>
      <c r="K28" s="21" t="s">
        <v>123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2026-10-08T11:07:42Z</dcterms:created>
  <dc:creator>openpyxl</dc:creator>
  <dc:description/>
  <dc:language>en-US</dc:language>
  <cp:lastModifiedBy/>
  <dcterms:modified xsi:type="dcterms:W3CDTF">2026-10-08T11:07:42Z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